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ev\funnel-builder-clean\"/>
    </mc:Choice>
  </mc:AlternateContent>
  <xr:revisionPtr revIDLastSave="0" documentId="13_ncr:1_{DD27AC2F-052C-49D8-AAD8-4D42D85FF4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tform Plans" sheetId="1" r:id="rId1"/>
    <sheet name="Module Standalone Prices" sheetId="2" r:id="rId2"/>
    <sheet name="Add-on (Delta) Pri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G12" i="2"/>
  <c r="I9" i="2"/>
  <c r="I11" i="2" s="1"/>
  <c r="G9" i="2"/>
  <c r="G11" i="2" s="1"/>
  <c r="C9" i="2"/>
  <c r="C11" i="2" s="1"/>
  <c r="C12" i="2" s="1"/>
  <c r="E9" i="2"/>
  <c r="E11" i="2" s="1"/>
  <c r="E12" i="2" s="1"/>
</calcChain>
</file>

<file path=xl/sharedStrings.xml><?xml version="1.0" encoding="utf-8"?>
<sst xmlns="http://schemas.openxmlformats.org/spreadsheetml/2006/main" count="134" uniqueCount="75">
  <si>
    <t/>
  </si>
  <si>
    <t>Starter ($129/mo)</t>
  </si>
  <si>
    <t>Growth ($299/mo)</t>
  </si>
  <si>
    <t>Scale ($449/mo)</t>
  </si>
  <si>
    <t>Professional ($699/mo)</t>
  </si>
  <si>
    <t>Email Marketing</t>
  </si>
  <si>
    <t>— Not included</t>
  </si>
  <si>
    <t>15,000 contacts / 150,000 sends</t>
  </si>
  <si>
    <t>40,000 contacts / 400,000 sends</t>
  </si>
  <si>
    <t>200,000 contacts / 2,000,000 sends</t>
  </si>
  <si>
    <t>SMS Marketing</t>
  </si>
  <si>
    <t>500 messages/mo</t>
  </si>
  <si>
    <t>2,500 messages/mo</t>
  </si>
  <si>
    <t>5,000 messages/mo</t>
  </si>
  <si>
    <t>10,000 messages/mo</t>
  </si>
  <si>
    <t>Social Media</t>
  </si>
  <si>
    <t>50 AI posts, 3 profiles</t>
  </si>
  <si>
    <t>200 AI posts, 7 profiles</t>
  </si>
  <si>
    <t>500 AI posts, 7 profiles</t>
  </si>
  <si>
    <t>2,000 AI posts, 7 profiles</t>
  </si>
  <si>
    <t>Calendar / Booking</t>
  </si>
  <si>
    <t>1 calendar, 50 bookings/mo</t>
  </si>
  <si>
    <t>Unlimited calendars, group booking</t>
  </si>
  <si>
    <t>Unlimited + custom branding</t>
  </si>
  <si>
    <t>Full professional tier</t>
  </si>
  <si>
    <t>CRM</t>
  </si>
  <si>
    <t>1 pipeline, 500 contacts</t>
  </si>
  <si>
    <t>Unlimited pipelines, 5,000 contacts</t>
  </si>
  <si>
    <t>Unlimited pipelines, 25,000 contacts</t>
  </si>
  <si>
    <t>Unlimited everything</t>
  </si>
  <si>
    <t>Website Builder</t>
  </si>
  <si>
    <t>1 website, templates only</t>
  </si>
  <si>
    <t>3 websites, custom domain, AI content</t>
  </si>
  <si>
    <t>7 websites, full AI builder, ecommerce</t>
  </si>
  <si>
    <t>Unlimited websites, full AI</t>
  </si>
  <si>
    <t>Funnels</t>
  </si>
  <si>
    <t>Landing pages only</t>
  </si>
  <si>
    <t>1 funnel included</t>
  </si>
  <si>
    <t>3 funnels included</t>
  </si>
  <si>
    <t>10 funnels included</t>
  </si>
  <si>
    <t>Funnel add-on packs (any plan)</t>
  </si>
  <si>
    <t>+2 funnels $19</t>
  </si>
  <si>
    <t>+5 funnels $39</t>
  </si>
  <si>
    <t>+10 funnels $79</t>
  </si>
  <si>
    <t>Unlimited $99</t>
  </si>
  <si>
    <t>Module</t>
  </si>
  <si>
    <t>Tier 1</t>
  </si>
  <si>
    <t>Price</t>
  </si>
  <si>
    <t>Tier 2</t>
  </si>
  <si>
    <t>Tier 3</t>
  </si>
  <si>
    <t>Tier 4</t>
  </si>
  <si>
    <t>Not included</t>
  </si>
  <si>
    <t>$99/mo</t>
  </si>
  <si>
    <t>$199/mo</t>
  </si>
  <si>
    <t>$499/mo</t>
  </si>
  <si>
    <t>$25/mo</t>
  </si>
  <si>
    <t>$120/mo</t>
  </si>
  <si>
    <t>$229/mo</t>
  </si>
  <si>
    <t>$429/mo</t>
  </si>
  <si>
    <t>$29/mo</t>
  </si>
  <si>
    <t>$79/mo</t>
  </si>
  <si>
    <t>$149/mo</t>
  </si>
  <si>
    <t>$299/mo</t>
  </si>
  <si>
    <t>Add-on price on Starter</t>
  </si>
  <si>
    <t>Add-on price on Growth</t>
  </si>
  <si>
    <t>Add-on price on Scale</t>
  </si>
  <si>
    <t>Add-on price on Professional</t>
  </si>
  <si>
    <t>(upgrade to next tier)</t>
  </si>
  <si>
    <t>Included ($0)</t>
  </si>
  <si>
    <t>see add-on packs</t>
  </si>
  <si>
    <t>BILLING PAGE COSTS</t>
  </si>
  <si>
    <t>INDIVIDUAL COSTS</t>
  </si>
  <si>
    <t>SAVINGS</t>
  </si>
  <si>
    <t>?emailPlan=email-advanced&amp;smsPlan=sms-growth&amp;calendarPlan=calendar-professional&amp;socialPlan=social-agency</t>
  </si>
  <si>
    <t>ANNUAL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</si>
</sst>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44" fontId="0" fillId="5" borderId="0" xfId="1" applyFont="1" applyFill="1"/>
    <xf numFmtId="0" fontId="0" fillId="6" borderId="0" xfId="0" applyFill="1"/>
    <xf numFmtId="44" fontId="0" fillId="6" borderId="0" xfId="1" applyFont="1" applyFill="1"/>
    <xf numFmtId="0" fontId="0" fillId="7" borderId="0" xfId="0" applyFill="1"/>
    <xf numFmtId="44" fontId="0" fillId="7" borderId="0" xfId="1" applyFont="1" applyFill="1"/>
    <xf numFmtId="0" fontId="2" fillId="4" borderId="0" xfId="0" applyFont="1" applyFill="1"/>
    <xf numFmtId="44" fontId="2" fillId="4" borderId="0" xfId="1" applyFont="1" applyFill="1"/>
    <xf numFmtId="0" fontId="0" fillId="0" borderId="1" xfId="0" applyBorder="1"/>
    <xf numFmtId="0" fontId="0" fillId="5" borderId="1" xfId="0" applyFill="1" applyBorder="1"/>
    <xf numFmtId="44" fontId="0" fillId="5" borderId="1" xfId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7" borderId="1" xfId="0" applyFill="1" applyBorder="1"/>
    <xf numFmtId="44" fontId="0" fillId="7" borderId="1" xfId="1" applyFont="1" applyFill="1" applyBorder="1"/>
    <xf numFmtId="0" fontId="2" fillId="4" borderId="1" xfId="0" applyFont="1" applyFill="1" applyBorder="1"/>
    <xf numFmtId="44" fontId="2" fillId="4" borderId="1" xfId="1" applyFont="1" applyFill="1" applyBorder="1"/>
    <xf numFmtId="0" fontId="0" fillId="2" borderId="1" xfId="0" applyFill="1" applyBorder="1"/>
    <xf numFmtId="0" fontId="0" fillId="3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mruColors>
      <color rgb="FFBA8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19" sqref="B19"/>
    </sheetView>
  </sheetViews>
  <sheetFormatPr defaultRowHeight="14.4" x14ac:dyDescent="0.3"/>
  <cols>
    <col min="1" max="1" width="27.5" bestFit="1" customWidth="1"/>
    <col min="2" max="5" width="38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15.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10" spans="1:5" ht="15.6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</sheetData>
  <pageMargins left="0.7" right="0.7" top="0.75" bottom="0.75" header="0.3" footer="0.3"/>
  <ignoredErrors>
    <ignoredError sqref="A1:E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L8" sqref="L8"/>
    </sheetView>
  </sheetViews>
  <sheetFormatPr defaultRowHeight="15.6" x14ac:dyDescent="0.3"/>
  <cols>
    <col min="1" max="1" width="22.796875" customWidth="1"/>
    <col min="2" max="2" width="16.19921875" style="3" hidden="1" customWidth="1"/>
    <col min="3" max="3" width="14.796875" style="4" customWidth="1"/>
    <col min="4" max="4" width="17" style="5" hidden="1" customWidth="1"/>
    <col min="5" max="5" width="14.796875" style="6" customWidth="1"/>
    <col min="6" max="6" width="15.69921875" style="7" hidden="1" customWidth="1"/>
    <col min="7" max="7" width="14.796875" style="8" customWidth="1"/>
    <col min="8" max="8" width="16.8984375" style="9" hidden="1" customWidth="1"/>
    <col min="9" max="9" width="14.796875" style="10" customWidth="1"/>
  </cols>
  <sheetData>
    <row r="1" spans="1:9" x14ac:dyDescent="0.3">
      <c r="A1" s="11" t="s">
        <v>45</v>
      </c>
      <c r="B1" s="12" t="s">
        <v>46</v>
      </c>
      <c r="C1" s="13" t="s">
        <v>47</v>
      </c>
      <c r="D1" s="14" t="s">
        <v>48</v>
      </c>
      <c r="E1" s="15" t="s">
        <v>47</v>
      </c>
      <c r="F1" s="16" t="s">
        <v>49</v>
      </c>
      <c r="G1" s="17" t="s">
        <v>47</v>
      </c>
      <c r="H1" s="18" t="s">
        <v>50</v>
      </c>
      <c r="I1" s="19" t="s">
        <v>47</v>
      </c>
    </row>
    <row r="2" spans="1:9" s="1" customFormat="1" x14ac:dyDescent="0.3">
      <c r="A2" s="20" t="s">
        <v>5</v>
      </c>
      <c r="B2" s="12" t="s">
        <v>51</v>
      </c>
      <c r="C2" s="13">
        <v>59</v>
      </c>
      <c r="D2" s="14" t="s">
        <v>7</v>
      </c>
      <c r="E2" s="15">
        <v>99</v>
      </c>
      <c r="F2" s="16" t="s">
        <v>8</v>
      </c>
      <c r="G2" s="17">
        <v>199</v>
      </c>
      <c r="H2" s="18" t="s">
        <v>9</v>
      </c>
      <c r="I2" s="19">
        <v>499</v>
      </c>
    </row>
    <row r="3" spans="1:9" x14ac:dyDescent="0.3">
      <c r="A3" s="11" t="s">
        <v>10</v>
      </c>
      <c r="B3" s="12" t="s">
        <v>11</v>
      </c>
      <c r="C3" s="13">
        <v>25</v>
      </c>
      <c r="D3" s="14" t="s">
        <v>12</v>
      </c>
      <c r="E3" s="15">
        <v>120</v>
      </c>
      <c r="F3" s="16" t="s">
        <v>13</v>
      </c>
      <c r="G3" s="17">
        <v>229</v>
      </c>
      <c r="H3" s="18" t="s">
        <v>14</v>
      </c>
      <c r="I3" s="19">
        <v>429</v>
      </c>
    </row>
    <row r="4" spans="1:9" s="1" customFormat="1" x14ac:dyDescent="0.3">
      <c r="A4" s="20" t="s">
        <v>15</v>
      </c>
      <c r="B4" s="12" t="s">
        <v>16</v>
      </c>
      <c r="C4" s="13">
        <v>49</v>
      </c>
      <c r="D4" s="14" t="s">
        <v>17</v>
      </c>
      <c r="E4" s="15">
        <v>79</v>
      </c>
      <c r="F4" s="16" t="s">
        <v>18</v>
      </c>
      <c r="G4" s="17">
        <v>149</v>
      </c>
      <c r="H4" s="18" t="s">
        <v>19</v>
      </c>
      <c r="I4" s="19">
        <v>299</v>
      </c>
    </row>
    <row r="5" spans="1:9" x14ac:dyDescent="0.3">
      <c r="A5" s="11" t="s">
        <v>20</v>
      </c>
      <c r="B5" s="12" t="s">
        <v>21</v>
      </c>
      <c r="C5" s="13">
        <v>19</v>
      </c>
      <c r="D5" s="14" t="s">
        <v>22</v>
      </c>
      <c r="E5" s="15">
        <v>29</v>
      </c>
      <c r="F5" s="16" t="s">
        <v>23</v>
      </c>
      <c r="G5" s="17">
        <v>79</v>
      </c>
      <c r="H5" s="18" t="s">
        <v>24</v>
      </c>
      <c r="I5" s="19">
        <v>149</v>
      </c>
    </row>
    <row r="6" spans="1:9" s="1" customFormat="1" x14ac:dyDescent="0.3">
      <c r="A6" s="20" t="s">
        <v>25</v>
      </c>
      <c r="B6" s="12" t="s">
        <v>26</v>
      </c>
      <c r="C6" s="13">
        <v>19</v>
      </c>
      <c r="D6" s="14" t="s">
        <v>27</v>
      </c>
      <c r="E6" s="15">
        <v>29</v>
      </c>
      <c r="F6" s="16" t="s">
        <v>28</v>
      </c>
      <c r="G6" s="17">
        <v>79</v>
      </c>
      <c r="H6" s="18" t="s">
        <v>29</v>
      </c>
      <c r="I6" s="19">
        <v>199</v>
      </c>
    </row>
    <row r="7" spans="1:9" x14ac:dyDescent="0.3">
      <c r="A7" s="11" t="s">
        <v>30</v>
      </c>
      <c r="B7" s="12" t="s">
        <v>31</v>
      </c>
      <c r="C7" s="13">
        <v>29</v>
      </c>
      <c r="D7" s="14" t="s">
        <v>32</v>
      </c>
      <c r="E7" s="15">
        <v>59</v>
      </c>
      <c r="F7" s="16" t="s">
        <v>33</v>
      </c>
      <c r="G7" s="17">
        <v>79</v>
      </c>
      <c r="H7" s="18" t="s">
        <v>34</v>
      </c>
      <c r="I7" s="19">
        <v>149</v>
      </c>
    </row>
    <row r="8" spans="1:9" x14ac:dyDescent="0.3">
      <c r="A8" s="11"/>
      <c r="B8" s="12"/>
      <c r="C8" s="13"/>
      <c r="D8" s="14"/>
      <c r="E8" s="15"/>
      <c r="F8" s="16"/>
      <c r="G8" s="17"/>
      <c r="H8" s="18"/>
      <c r="I8" s="19"/>
    </row>
    <row r="9" spans="1:9" x14ac:dyDescent="0.3">
      <c r="A9" s="11" t="s">
        <v>71</v>
      </c>
      <c r="B9" s="12"/>
      <c r="C9" s="13">
        <f>SUM(C2:C8)</f>
        <v>200</v>
      </c>
      <c r="D9" s="14"/>
      <c r="E9" s="15">
        <f>SUM(E2:E7)</f>
        <v>415</v>
      </c>
      <c r="F9" s="16"/>
      <c r="G9" s="17">
        <f>SUM(G2:G8)</f>
        <v>814</v>
      </c>
      <c r="H9" s="18"/>
      <c r="I9" s="19">
        <f>SUM(I2:I8)</f>
        <v>1724</v>
      </c>
    </row>
    <row r="10" spans="1:9" s="1" customFormat="1" x14ac:dyDescent="0.3">
      <c r="A10" s="20" t="s">
        <v>70</v>
      </c>
      <c r="B10" s="12"/>
      <c r="C10" s="13">
        <v>129</v>
      </c>
      <c r="D10" s="14"/>
      <c r="E10" s="15">
        <v>299</v>
      </c>
      <c r="F10" s="16"/>
      <c r="G10" s="17">
        <v>449</v>
      </c>
      <c r="H10" s="18"/>
      <c r="I10" s="19">
        <v>899</v>
      </c>
    </row>
    <row r="11" spans="1:9" s="2" customFormat="1" x14ac:dyDescent="0.3">
      <c r="A11" s="21" t="s">
        <v>72</v>
      </c>
      <c r="B11" s="12"/>
      <c r="C11" s="13">
        <f>C9-C10</f>
        <v>71</v>
      </c>
      <c r="D11" s="14"/>
      <c r="E11" s="15">
        <f>E9-E10</f>
        <v>116</v>
      </c>
      <c r="F11" s="16"/>
      <c r="G11" s="17">
        <f>G9-G10</f>
        <v>365</v>
      </c>
      <c r="H11" s="18"/>
      <c r="I11" s="19">
        <f>I9-I10</f>
        <v>825</v>
      </c>
    </row>
    <row r="12" spans="1:9" x14ac:dyDescent="0.3">
      <c r="A12" s="11" t="s">
        <v>74</v>
      </c>
      <c r="B12" s="12"/>
      <c r="C12" s="13">
        <f>C11*12</f>
        <v>852</v>
      </c>
      <c r="D12" s="14"/>
      <c r="E12" s="15">
        <f>E11*12</f>
        <v>1392</v>
      </c>
      <c r="F12" s="16"/>
      <c r="G12" s="17">
        <f>G11*12</f>
        <v>4380</v>
      </c>
      <c r="H12" s="18"/>
      <c r="I12" s="19">
        <f>I11*12</f>
        <v>9900</v>
      </c>
    </row>
    <row r="16" spans="1:9" x14ac:dyDescent="0.3">
      <c r="B16" s="3" t="s">
        <v>73</v>
      </c>
    </row>
  </sheetData>
  <pageMargins left="0.7" right="0.7" top="0.75" bottom="0.75" header="0.3" footer="0.3"/>
  <pageSetup orientation="portrait" horizontalDpi="0" verticalDpi="0" r:id="rId1"/>
  <ignoredErrors>
    <ignoredError sqref="A1:I1 A8:I8 A2:B2 F2 A3:B3 F3 A4:B4 F4 A5:B5 F5 A6:B6 F6 A7:B7 F7 D3 D4 D5 D6 D7 D2 H2 H3 H4 H5 H6 H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cols>
    <col min="1" max="1" width="22.796875" customWidth="1"/>
    <col min="2" max="5" width="28.796875" customWidth="1"/>
  </cols>
  <sheetData>
    <row r="1" spans="1:5" ht="15.6" x14ac:dyDescent="0.3">
      <c r="A1" t="s">
        <v>45</v>
      </c>
      <c r="B1" t="s">
        <v>63</v>
      </c>
      <c r="C1" t="s">
        <v>64</v>
      </c>
      <c r="D1" t="s">
        <v>65</v>
      </c>
      <c r="E1" t="s">
        <v>66</v>
      </c>
    </row>
    <row r="2" spans="1:5" ht="15.6" x14ac:dyDescent="0.3">
      <c r="A2" t="s">
        <v>0</v>
      </c>
      <c r="B2" t="s">
        <v>67</v>
      </c>
      <c r="C2" t="s">
        <v>67</v>
      </c>
      <c r="D2" t="s">
        <v>67</v>
      </c>
      <c r="E2" t="s">
        <v>67</v>
      </c>
    </row>
    <row r="3" spans="1:5" ht="15.6" x14ac:dyDescent="0.3">
      <c r="A3" t="s">
        <v>5</v>
      </c>
      <c r="B3" t="s">
        <v>59</v>
      </c>
      <c r="C3" t="s">
        <v>52</v>
      </c>
      <c r="D3" t="s">
        <v>53</v>
      </c>
      <c r="E3" t="s">
        <v>54</v>
      </c>
    </row>
    <row r="4" spans="1:5" ht="15.6" x14ac:dyDescent="0.3">
      <c r="A4" t="s">
        <v>10</v>
      </c>
      <c r="B4" t="s">
        <v>55</v>
      </c>
      <c r="C4" t="s">
        <v>56</v>
      </c>
      <c r="D4" t="s">
        <v>57</v>
      </c>
      <c r="E4" t="s">
        <v>58</v>
      </c>
    </row>
    <row r="5" spans="1:5" ht="15.6" x14ac:dyDescent="0.3">
      <c r="A5" t="s">
        <v>15</v>
      </c>
      <c r="B5" t="s">
        <v>59</v>
      </c>
      <c r="C5" t="s">
        <v>60</v>
      </c>
      <c r="D5" t="s">
        <v>61</v>
      </c>
      <c r="E5" t="s">
        <v>62</v>
      </c>
    </row>
    <row r="6" spans="1:5" ht="15.6" x14ac:dyDescent="0.3">
      <c r="A6" t="s">
        <v>20</v>
      </c>
      <c r="B6" t="s">
        <v>68</v>
      </c>
      <c r="C6" t="s">
        <v>59</v>
      </c>
      <c r="D6" t="s">
        <v>60</v>
      </c>
      <c r="E6" t="s">
        <v>61</v>
      </c>
    </row>
    <row r="7" spans="1:5" ht="15.6" x14ac:dyDescent="0.3">
      <c r="A7" t="s">
        <v>25</v>
      </c>
      <c r="B7" t="s">
        <v>68</v>
      </c>
      <c r="C7" t="s">
        <v>59</v>
      </c>
      <c r="D7" t="s">
        <v>60</v>
      </c>
      <c r="E7" t="s">
        <v>53</v>
      </c>
    </row>
    <row r="8" spans="1:5" ht="15.6" x14ac:dyDescent="0.3">
      <c r="A8" t="s">
        <v>30</v>
      </c>
      <c r="B8" t="s">
        <v>68</v>
      </c>
      <c r="C8" t="s">
        <v>59</v>
      </c>
      <c r="D8" t="s">
        <v>60</v>
      </c>
      <c r="E8" t="s">
        <v>61</v>
      </c>
    </row>
    <row r="9" spans="1:5" ht="15.6" x14ac:dyDescent="0.3">
      <c r="A9" t="s">
        <v>35</v>
      </c>
      <c r="B9" t="s">
        <v>69</v>
      </c>
      <c r="C9" t="s">
        <v>69</v>
      </c>
      <c r="D9" t="s">
        <v>69</v>
      </c>
      <c r="E9" t="s">
        <v>69</v>
      </c>
    </row>
  </sheetData>
  <pageMargins left="0.7" right="0.7" top="0.75" bottom="0.75" header="0.3" footer="0.3"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 Plans</vt:lpstr>
      <vt:lpstr>Module Standalone Prices</vt:lpstr>
      <vt:lpstr>Add-on (Delta)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Rohde</cp:lastModifiedBy>
  <dcterms:created xsi:type="dcterms:W3CDTF">2026-05-23T23:48:28Z</dcterms:created>
  <dcterms:modified xsi:type="dcterms:W3CDTF">2026-05-26T21:22:10Z</dcterms:modified>
</cp:coreProperties>
</file>